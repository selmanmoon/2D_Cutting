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UBA AY\Desktop\"/>
    </mc:Choice>
  </mc:AlternateContent>
  <bookViews>
    <workbookView xWindow="0" yWindow="450" windowWidth="20490" windowHeight="7230"/>
  </bookViews>
  <sheets>
    <sheet name="Interface" sheetId="1" r:id="rId1"/>
    <sheet name="Data" sheetId="3" r:id="rId2"/>
  </sheets>
  <definedNames>
    <definedName name="range">Interface!$C$5:$F$11</definedName>
    <definedName name="range2">Interface!$H$5:$J$9</definedName>
    <definedName name="selam">Data!$C$6:$E$25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E13" i="1" l="1"/>
  <c r="I6" i="1"/>
  <c r="F10" i="1" l="1"/>
  <c r="F9" i="1"/>
  <c r="F8" i="1"/>
  <c r="D7" i="1"/>
  <c r="D15" i="1" s="1"/>
  <c r="D8" i="1"/>
  <c r="D16" i="1" s="1"/>
  <c r="D9" i="1"/>
  <c r="D17" i="1" s="1"/>
  <c r="D10" i="1"/>
  <c r="D18" i="1" s="1"/>
  <c r="D6" i="1"/>
  <c r="D14" i="1" s="1"/>
  <c r="F7" i="1"/>
  <c r="F6" i="1"/>
  <c r="E10" i="1"/>
  <c r="E18" i="1" s="1"/>
  <c r="E7" i="1"/>
  <c r="E15" i="1" s="1"/>
  <c r="E8" i="1"/>
  <c r="E16" i="1" s="1"/>
  <c r="E9" i="1"/>
  <c r="E17" i="1" s="1"/>
  <c r="E6" i="1"/>
  <c r="E14" i="1" s="1"/>
  <c r="C15" i="1"/>
  <c r="C16" i="1"/>
  <c r="C17" i="1"/>
  <c r="C18" i="1"/>
  <c r="C14" i="1"/>
  <c r="M10" i="1" l="1"/>
  <c r="M7" i="1"/>
  <c r="M8" i="1"/>
  <c r="M9" i="1"/>
  <c r="M6" i="1"/>
  <c r="R2" i="1" l="1"/>
  <c r="H17" i="1"/>
</calcChain>
</file>

<file path=xl/sharedStrings.xml><?xml version="1.0" encoding="utf-8"?>
<sst xmlns="http://schemas.openxmlformats.org/spreadsheetml/2006/main" count="35" uniqueCount="25">
  <si>
    <t>Part Name</t>
  </si>
  <si>
    <t>A</t>
  </si>
  <si>
    <t>B</t>
  </si>
  <si>
    <t>C</t>
  </si>
  <si>
    <t>x</t>
  </si>
  <si>
    <t>y</t>
  </si>
  <si>
    <t xml:space="preserve">Resource </t>
  </si>
  <si>
    <t>Cutted Parts:</t>
  </si>
  <si>
    <t>Waste:</t>
  </si>
  <si>
    <t>2D CUTTING OPTIMIZATOR</t>
  </si>
  <si>
    <t xml:space="preserve">                                                                 GRAPH:</t>
  </si>
  <si>
    <t>Guillotine Cutting</t>
  </si>
  <si>
    <t>Yes</t>
  </si>
  <si>
    <t>No</t>
  </si>
  <si>
    <t>D</t>
  </si>
  <si>
    <t>Rotating</t>
  </si>
  <si>
    <t>Count</t>
  </si>
  <si>
    <t>SelmanMoon®</t>
  </si>
  <si>
    <t>E</t>
  </si>
  <si>
    <t>Scale</t>
  </si>
  <si>
    <t>Allign</t>
  </si>
  <si>
    <t>Value</t>
  </si>
  <si>
    <t>Case1</t>
  </si>
  <si>
    <t>Case2</t>
  </si>
  <si>
    <t>FFA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</si>
</sst>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6"/>
      <color theme="1"/>
      <name val="Calibri"/>
      <family val="2"/>
      <charset val="162"/>
      <scheme val="minor"/>
    </font>
    <font>
      <sz val="3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Fill="1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1" xfId="0" applyFill="1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3" fillId="0" borderId="0" xfId="0" applyFont="1" applyFill="1" applyBorder="1" applyAlignment="1">
      <alignment horizontal="center"/>
    </xf>
    <xf numFmtId="0" fontId="4" fillId="0" borderId="0" xfId="0" applyFont="1" applyBorder="1"/>
    <xf numFmtId="0" fontId="1" fillId="3" borderId="4" xfId="0" applyFont="1" applyFill="1" applyBorder="1" applyAlignment="1" applyProtection="1">
      <alignment horizontal="center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8" xfId="0" applyFont="1" applyBorder="1"/>
    <xf numFmtId="2" fontId="4" fillId="0" borderId="5" xfId="0" applyNumberFormat="1" applyFont="1" applyBorder="1" applyAlignment="1">
      <alignment horizontal="center"/>
    </xf>
    <xf numFmtId="0" fontId="2" fillId="0" borderId="14" xfId="0" applyFont="1" applyBorder="1" applyAlignment="1">
      <alignment horizontal="left" vertical="center"/>
    </xf>
    <xf numFmtId="0" fontId="4" fillId="0" borderId="0" xfId="0" applyFont="1"/>
    <xf numFmtId="0" fontId="6" fillId="0" borderId="12" xfId="0" applyFont="1" applyBorder="1" applyAlignment="1">
      <alignment horizontal="right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15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18</xdr:row>
      <xdr:rowOff>95250</xdr:rowOff>
    </xdr:from>
    <xdr:to>
      <xdr:col>7</xdr:col>
      <xdr:colOff>295275</xdr:colOff>
      <xdr:row>21</xdr:row>
      <xdr:rowOff>171450</xdr:rowOff>
    </xdr:to>
    <xdr:pic macro="[0]!MainForm">
      <xdr:nvPicPr>
        <xdr:cNvPr id="3348" name="OkButton" descr="Checkmark">
          <a:extLst>
            <a:ext uri="{FF2B5EF4-FFF2-40B4-BE49-F238E27FC236}">
              <a16:creationId xmlns:a16="http://schemas.microsoft.com/office/drawing/2014/main" id="{46E9BAB3-48F7-4AA5-ACA3-036FCF139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95650" y="3476625"/>
          <a:ext cx="647700" cy="647700"/>
        </a:xfrm>
        <a:prstGeom prst="rect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21</xdr:col>
      <xdr:colOff>942975</xdr:colOff>
      <xdr:row>21</xdr:row>
      <xdr:rowOff>171450</xdr:rowOff>
    </xdr:from>
    <xdr:to>
      <xdr:col>21</xdr:col>
      <xdr:colOff>1162050</xdr:colOff>
      <xdr:row>22</xdr:row>
      <xdr:rowOff>164973</xdr:rowOff>
    </xdr:to>
    <xdr:pic>
      <xdr:nvPicPr>
        <xdr:cNvPr id="4382" name="selmanmoon" descr="Sunglasses">
          <a:extLst>
            <a:ext uri="{FF2B5EF4-FFF2-40B4-BE49-F238E27FC236}">
              <a16:creationId xmlns:a16="http://schemas.microsoft.com/office/drawing/2014/main" id="{6FF0F973-73B5-426C-8C2A-36655D0EE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134850" y="4124325"/>
          <a:ext cx="219075" cy="184023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20</xdr:row>
      <xdr:rowOff>161925</xdr:rowOff>
    </xdr:from>
    <xdr:to>
      <xdr:col>15</xdr:col>
      <xdr:colOff>592575</xdr:colOff>
      <xdr:row>22</xdr:row>
      <xdr:rowOff>40125</xdr:rowOff>
    </xdr:to>
    <xdr:pic macro="[0]!sol_Click">
      <xdr:nvPicPr>
        <xdr:cNvPr id="4371" name="sol" descr="Arrow: Straight">
          <a:extLst>
            <a:ext uri="{FF2B5EF4-FFF2-40B4-BE49-F238E27FC236}">
              <a16:creationId xmlns:a16="http://schemas.microsoft.com/office/drawing/2014/main" id="{6BFC1F4A-2DBC-4D42-B8F6-173C16590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877175" y="3924300"/>
          <a:ext cx="259200" cy="259200"/>
        </a:xfrm>
        <a:prstGeom prst="rect">
          <a:avLst/>
        </a:prstGeom>
      </xdr:spPr>
    </xdr:pic>
    <xdr:clientData/>
  </xdr:twoCellAnchor>
  <xdr:twoCellAnchor editAs="oneCell">
    <xdr:from>
      <xdr:col>17</xdr:col>
      <xdr:colOff>16650</xdr:colOff>
      <xdr:row>20</xdr:row>
      <xdr:rowOff>188100</xdr:rowOff>
    </xdr:from>
    <xdr:to>
      <xdr:col>17</xdr:col>
      <xdr:colOff>275850</xdr:colOff>
      <xdr:row>22</xdr:row>
      <xdr:rowOff>66300</xdr:rowOff>
    </xdr:to>
    <xdr:pic macro="[0]!sag_Click">
      <xdr:nvPicPr>
        <xdr:cNvPr id="4373" name="sag" descr="Arrow: Slight curve">
          <a:extLst>
            <a:ext uri="{FF2B5EF4-FFF2-40B4-BE49-F238E27FC236}">
              <a16:creationId xmlns:a16="http://schemas.microsoft.com/office/drawing/2014/main" id="{9D31199F-1D31-40F0-A416-7B2D4ED7D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779650" y="3950475"/>
          <a:ext cx="259200" cy="2592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19</xdr:row>
      <xdr:rowOff>28575</xdr:rowOff>
    </xdr:from>
    <xdr:to>
      <xdr:col>5</xdr:col>
      <xdr:colOff>476250</xdr:colOff>
      <xdr:row>21</xdr:row>
      <xdr:rowOff>38100</xdr:rowOff>
    </xdr:to>
    <xdr:pic macro="[0]!dosyaOpen_Click">
      <xdr:nvPicPr>
        <xdr:cNvPr id="10037" name="dosyaOpen" descr="Download">
          <a:extLst>
            <a:ext uri="{FF2B5EF4-FFF2-40B4-BE49-F238E27FC236}">
              <a16:creationId xmlns:a16="http://schemas.microsoft.com/office/drawing/2014/main" id="{E4F75D7A-0C51-4F38-AA99-BFC3268E5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524125" y="3600450"/>
          <a:ext cx="438150" cy="390525"/>
        </a:xfrm>
        <a:prstGeom prst="rect">
          <a:avLst/>
        </a:prstGeom>
      </xdr:spPr>
    </xdr:pic>
    <xdr:clientData/>
  </xdr:twoCellAnchor>
  <xdr:twoCellAnchor editAs="oneCell">
    <xdr:from>
      <xdr:col>21</xdr:col>
      <xdr:colOff>819150</xdr:colOff>
      <xdr:row>3</xdr:row>
      <xdr:rowOff>76200</xdr:rowOff>
    </xdr:from>
    <xdr:to>
      <xdr:col>21</xdr:col>
      <xdr:colOff>1114425</xdr:colOff>
      <xdr:row>4</xdr:row>
      <xdr:rowOff>161925</xdr:rowOff>
    </xdr:to>
    <xdr:pic>
      <xdr:nvPicPr>
        <xdr:cNvPr id="11049" name="info" descr="Information">
          <a:extLst>
            <a:ext uri="{FF2B5EF4-FFF2-40B4-BE49-F238E27FC236}">
              <a16:creationId xmlns:a16="http://schemas.microsoft.com/office/drawing/2014/main" id="{CAF5EAF8-2293-4DEA-B6DE-8333C293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011025" y="600075"/>
          <a:ext cx="295275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0"/>
  <sheetViews>
    <sheetView showGridLines="0" tabSelected="1" zoomScaleNormal="100" workbookViewId="0">
      <selection activeCell="R9" sqref="R9"/>
    </sheetView>
  </sheetViews>
  <sheetFormatPr defaultRowHeight="15" x14ac:dyDescent="0.25"/>
  <cols>
    <col min="1" max="1" width="1.5703125" customWidth="1"/>
    <col min="2" max="2" width="3.85546875" customWidth="1"/>
    <col min="3" max="3" width="10.28515625" customWidth="1"/>
    <col min="4" max="4" width="11" customWidth="1"/>
    <col min="5" max="5" width="10.5703125" customWidth="1"/>
    <col min="6" max="6" width="8.28515625" customWidth="1"/>
    <col min="8" max="8" width="10.28515625" customWidth="1"/>
    <col min="9" max="9" width="11.42578125" customWidth="1"/>
    <col min="11" max="11" width="3.42578125" customWidth="1"/>
    <col min="12" max="12" width="2.7109375" customWidth="1"/>
    <col min="13" max="13" width="5.85546875" hidden="1" customWidth="1"/>
    <col min="18" max="18" width="9.140625" customWidth="1"/>
    <col min="21" max="21" width="12.140625" customWidth="1"/>
    <col min="22" max="22" width="17.7109375" customWidth="1"/>
  </cols>
  <sheetData>
    <row r="1" spans="1:22" ht="9.75" customHeight="1" thickBot="1" x14ac:dyDescent="0.3">
      <c r="H1" s="35"/>
      <c r="I1" s="35"/>
    </row>
    <row r="2" spans="1:22" ht="21.75" customHeight="1" thickBot="1" x14ac:dyDescent="0.3">
      <c r="B2" s="37" t="s">
        <v>9</v>
      </c>
      <c r="C2" s="38"/>
      <c r="D2" s="38"/>
      <c r="E2" s="38"/>
      <c r="F2" s="38"/>
      <c r="G2" s="38"/>
      <c r="H2" s="38"/>
      <c r="I2" s="38"/>
      <c r="J2" s="38"/>
      <c r="K2" s="48"/>
      <c r="L2" s="31"/>
      <c r="N2" s="37" t="s">
        <v>10</v>
      </c>
      <c r="O2" s="38"/>
      <c r="P2" s="38"/>
      <c r="Q2" s="38"/>
      <c r="R2" s="34" t="str">
        <f>E13</f>
        <v>Case1</v>
      </c>
      <c r="S2" s="26"/>
      <c r="T2" s="26"/>
      <c r="U2" s="26"/>
      <c r="V2" s="27"/>
    </row>
    <row r="3" spans="1:22" ht="9.75" customHeight="1" thickBo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N3" s="1"/>
      <c r="O3" s="1"/>
      <c r="P3" s="1"/>
      <c r="Q3" s="1"/>
      <c r="R3" s="1"/>
      <c r="S3" s="1"/>
      <c r="T3" s="1"/>
      <c r="U3" s="1"/>
      <c r="V3" s="1"/>
    </row>
    <row r="4" spans="1:22" x14ac:dyDescent="0.25">
      <c r="A4" s="5"/>
      <c r="B4" s="33">
        <v>0.5</v>
      </c>
      <c r="C4" s="29">
        <v>1</v>
      </c>
      <c r="D4" s="29">
        <v>1.3</v>
      </c>
      <c r="E4" s="29">
        <v>1.7</v>
      </c>
      <c r="F4" s="29">
        <v>2</v>
      </c>
      <c r="G4" s="29">
        <v>3</v>
      </c>
      <c r="H4" s="29" t="s">
        <v>22</v>
      </c>
      <c r="I4" s="29" t="s">
        <v>23</v>
      </c>
      <c r="J4" s="9"/>
      <c r="K4" s="10"/>
      <c r="L4" s="1"/>
      <c r="N4" s="19"/>
      <c r="O4" s="20"/>
      <c r="P4" s="20"/>
      <c r="Q4" s="20"/>
      <c r="R4" s="20"/>
      <c r="S4" s="20"/>
      <c r="T4" s="20"/>
      <c r="U4" s="20"/>
      <c r="V4" s="10"/>
    </row>
    <row r="5" spans="1:22" x14ac:dyDescent="0.25">
      <c r="A5" s="5"/>
      <c r="B5" s="11"/>
      <c r="C5" s="7" t="s">
        <v>0</v>
      </c>
      <c r="D5" s="8" t="s">
        <v>4</v>
      </c>
      <c r="E5" s="8" t="s">
        <v>5</v>
      </c>
      <c r="F5" s="8" t="s">
        <v>16</v>
      </c>
      <c r="G5" s="3"/>
      <c r="H5" s="8" t="s">
        <v>6</v>
      </c>
      <c r="I5" s="8" t="s">
        <v>4</v>
      </c>
      <c r="J5" s="8" t="s">
        <v>5</v>
      </c>
      <c r="K5" s="12"/>
      <c r="L5" s="3"/>
      <c r="N5" s="21"/>
      <c r="O5" s="1"/>
      <c r="P5" s="1"/>
      <c r="Q5" s="1"/>
      <c r="R5" s="1"/>
      <c r="S5" s="1"/>
      <c r="T5" s="1"/>
      <c r="U5" s="1"/>
      <c r="V5" s="13"/>
    </row>
    <row r="6" spans="1:22" x14ac:dyDescent="0.25">
      <c r="A6" s="5"/>
      <c r="B6" s="11"/>
      <c r="C6" t="s">
        <v>1</v>
      </c>
      <c r="D6">
        <f>Data!H7</f>
        <v>170</v>
      </c>
      <c r="E6">
        <f>Data!G7</f>
        <v>50</v>
      </c>
      <c r="F6" s="6">
        <f>Data!I7</f>
        <v>4</v>
      </c>
      <c r="G6" s="3"/>
      <c r="H6" s="4" t="s">
        <v>22</v>
      </c>
      <c r="I6" s="4">
        <f>IF($H$6="Case1",400,250)</f>
        <v>400</v>
      </c>
      <c r="J6" s="4">
        <f>IF($H$6="Case1",400,260)</f>
        <v>400</v>
      </c>
      <c r="K6" s="13"/>
      <c r="L6" s="1"/>
      <c r="M6">
        <f>F6</f>
        <v>4</v>
      </c>
      <c r="N6" s="21"/>
      <c r="O6" s="1"/>
      <c r="P6" s="1"/>
      <c r="Q6" s="1"/>
      <c r="R6" s="1"/>
      <c r="S6" s="1"/>
      <c r="T6" s="1"/>
      <c r="U6" s="1"/>
      <c r="V6" s="13"/>
    </row>
    <row r="7" spans="1:22" x14ac:dyDescent="0.25">
      <c r="A7" s="5"/>
      <c r="B7" s="11"/>
      <c r="C7" t="s">
        <v>2</v>
      </c>
      <c r="D7">
        <f>Data!H8</f>
        <v>150</v>
      </c>
      <c r="E7">
        <f>Data!G8</f>
        <v>110</v>
      </c>
      <c r="F7" s="6">
        <f>Data!I8</f>
        <v>4</v>
      </c>
      <c r="G7" s="3"/>
      <c r="H7" s="6" t="s">
        <v>24</v>
      </c>
      <c r="I7" s="6">
        <v>250</v>
      </c>
      <c r="J7" s="6">
        <v>240</v>
      </c>
      <c r="K7" s="13"/>
      <c r="L7" s="1"/>
      <c r="M7">
        <f t="shared" ref="M7:M9" si="0">F7</f>
        <v>4</v>
      </c>
      <c r="N7" s="21"/>
      <c r="O7" s="1"/>
      <c r="P7" s="1"/>
      <c r="Q7" s="1"/>
      <c r="R7" s="1"/>
      <c r="S7" s="1"/>
      <c r="T7" s="1"/>
      <c r="U7" s="1"/>
      <c r="V7" s="13"/>
    </row>
    <row r="8" spans="1:22" x14ac:dyDescent="0.25">
      <c r="A8" s="5"/>
      <c r="B8" s="11"/>
      <c r="C8" t="s">
        <v>3</v>
      </c>
      <c r="D8">
        <f>Data!H9</f>
        <v>120</v>
      </c>
      <c r="E8">
        <f>Data!G9</f>
        <v>40</v>
      </c>
      <c r="F8" s="6">
        <f>Data!I9</f>
        <v>4</v>
      </c>
      <c r="G8" s="3"/>
      <c r="H8" s="6"/>
      <c r="I8" s="6"/>
      <c r="J8" s="6"/>
      <c r="K8" s="13"/>
      <c r="L8" s="1"/>
      <c r="M8">
        <f t="shared" si="0"/>
        <v>4</v>
      </c>
      <c r="N8" s="21"/>
      <c r="O8" s="1"/>
      <c r="P8" s="1"/>
      <c r="Q8" s="1"/>
      <c r="R8" s="1"/>
      <c r="S8" s="1"/>
      <c r="T8" s="1"/>
      <c r="U8" s="1"/>
      <c r="V8" s="13"/>
    </row>
    <row r="9" spans="1:22" x14ac:dyDescent="0.25">
      <c r="A9" s="5"/>
      <c r="B9" s="11"/>
      <c r="C9" t="s">
        <v>14</v>
      </c>
      <c r="D9">
        <f>Data!H10</f>
        <v>50</v>
      </c>
      <c r="E9">
        <f>Data!G10</f>
        <v>150</v>
      </c>
      <c r="F9" s="6">
        <f>Data!I10</f>
        <v>4</v>
      </c>
      <c r="G9" s="3"/>
      <c r="H9" s="6"/>
      <c r="I9" s="4"/>
      <c r="J9" s="4"/>
      <c r="K9" s="13"/>
      <c r="L9" s="1"/>
      <c r="M9">
        <f t="shared" si="0"/>
        <v>4</v>
      </c>
      <c r="N9" s="21"/>
      <c r="O9" s="1"/>
      <c r="P9" s="1"/>
      <c r="Q9" s="1"/>
      <c r="R9" s="1"/>
      <c r="S9" s="1"/>
      <c r="U9" s="1"/>
      <c r="V9" s="13"/>
    </row>
    <row r="10" spans="1:22" x14ac:dyDescent="0.25">
      <c r="A10" s="5"/>
      <c r="B10" s="11"/>
      <c r="C10" t="s">
        <v>18</v>
      </c>
      <c r="D10">
        <f>Data!H11</f>
        <v>30</v>
      </c>
      <c r="E10">
        <f>Data!G11</f>
        <v>90</v>
      </c>
      <c r="F10" s="6">
        <f>Data!I11</f>
        <v>3</v>
      </c>
      <c r="G10" s="3"/>
      <c r="H10" s="2"/>
      <c r="I10" s="1"/>
      <c r="J10" s="1"/>
      <c r="K10" s="13"/>
      <c r="L10" s="1"/>
      <c r="M10">
        <f>F10</f>
        <v>3</v>
      </c>
      <c r="N10" s="21"/>
      <c r="O10" s="1"/>
      <c r="P10" s="1"/>
      <c r="Q10" s="1"/>
      <c r="R10" s="1"/>
      <c r="S10" s="1"/>
      <c r="T10" s="1"/>
      <c r="U10" s="1"/>
      <c r="V10" s="13"/>
    </row>
    <row r="11" spans="1:22" x14ac:dyDescent="0.25">
      <c r="A11" s="5"/>
      <c r="B11" s="11"/>
      <c r="C11" s="2"/>
      <c r="D11" s="2"/>
      <c r="E11" s="2"/>
      <c r="F11" s="2"/>
      <c r="G11" s="3"/>
      <c r="H11" s="2"/>
      <c r="I11" s="1"/>
      <c r="J11" s="1"/>
      <c r="K11" s="13"/>
      <c r="L11" s="1"/>
      <c r="N11" s="21"/>
      <c r="O11" s="1"/>
      <c r="P11" s="1"/>
      <c r="Q11" s="1"/>
      <c r="R11" s="1"/>
      <c r="S11" s="1"/>
      <c r="T11" s="1"/>
      <c r="U11" s="1"/>
      <c r="V11" s="13"/>
    </row>
    <row r="12" spans="1:22" x14ac:dyDescent="0.25">
      <c r="A12" s="5"/>
      <c r="B12" s="11"/>
      <c r="C12" s="2"/>
      <c r="D12" s="2"/>
      <c r="E12" s="2"/>
      <c r="F12" s="2"/>
      <c r="G12" s="3"/>
      <c r="H12" s="2"/>
      <c r="I12" s="24" t="s">
        <v>12</v>
      </c>
      <c r="J12" s="24" t="s">
        <v>13</v>
      </c>
      <c r="K12" s="13"/>
      <c r="L12" s="1"/>
      <c r="N12" s="21"/>
      <c r="O12" s="1"/>
      <c r="P12" s="1"/>
      <c r="Q12" s="1"/>
      <c r="R12" s="1"/>
      <c r="S12" s="1"/>
      <c r="T12" s="1"/>
      <c r="U12" s="1"/>
      <c r="V12" s="13"/>
    </row>
    <row r="13" spans="1:22" x14ac:dyDescent="0.25">
      <c r="A13" s="5"/>
      <c r="B13" s="11"/>
      <c r="C13" s="41" t="s">
        <v>7</v>
      </c>
      <c r="D13" s="42"/>
      <c r="E13" s="39" t="str">
        <f>H6</f>
        <v>Case1</v>
      </c>
      <c r="F13" s="40"/>
      <c r="G13" s="3"/>
      <c r="H13" s="45" t="s">
        <v>11</v>
      </c>
      <c r="I13" s="47"/>
      <c r="J13" s="25" t="s">
        <v>12</v>
      </c>
      <c r="K13" s="13"/>
      <c r="L13" s="1"/>
      <c r="N13" s="21"/>
      <c r="O13" s="1"/>
      <c r="P13" s="1"/>
      <c r="Q13" s="1"/>
      <c r="R13" s="1"/>
      <c r="S13" s="1"/>
      <c r="T13" s="1"/>
      <c r="U13" s="1"/>
      <c r="V13" s="13"/>
    </row>
    <row r="14" spans="1:22" x14ac:dyDescent="0.25">
      <c r="A14" s="5"/>
      <c r="B14" s="11"/>
      <c r="C14" s="4" t="str">
        <f>C6</f>
        <v>A</v>
      </c>
      <c r="D14" s="4">
        <f t="shared" ref="D14:E14" si="1">D6</f>
        <v>170</v>
      </c>
      <c r="E14" s="4">
        <f t="shared" si="1"/>
        <v>50</v>
      </c>
      <c r="F14" s="4">
        <v>0</v>
      </c>
      <c r="G14" s="3"/>
      <c r="H14" s="45" t="s">
        <v>15</v>
      </c>
      <c r="I14" s="47"/>
      <c r="J14" s="25" t="s">
        <v>13</v>
      </c>
      <c r="K14" s="13"/>
      <c r="L14" s="1"/>
      <c r="N14" s="21"/>
      <c r="O14" s="1"/>
      <c r="P14" s="1"/>
      <c r="Q14" s="1"/>
      <c r="R14" s="1"/>
      <c r="S14" s="1"/>
      <c r="T14" s="1"/>
      <c r="U14" s="1"/>
      <c r="V14" s="13"/>
    </row>
    <row r="15" spans="1:22" x14ac:dyDescent="0.25">
      <c r="A15" s="5"/>
      <c r="B15" s="11"/>
      <c r="C15" s="4" t="str">
        <f t="shared" ref="C15:E15" si="2">C7</f>
        <v>B</v>
      </c>
      <c r="D15" s="4">
        <f t="shared" si="2"/>
        <v>150</v>
      </c>
      <c r="E15" s="4">
        <f t="shared" si="2"/>
        <v>110</v>
      </c>
      <c r="F15" s="4">
        <v>0</v>
      </c>
      <c r="G15" s="3"/>
      <c r="K15" s="13"/>
      <c r="L15" s="1"/>
      <c r="N15" s="21"/>
      <c r="O15" s="1"/>
      <c r="P15" s="1"/>
      <c r="Q15" s="1"/>
      <c r="R15" s="1"/>
      <c r="S15" s="1"/>
      <c r="T15" s="1"/>
      <c r="U15" s="1"/>
      <c r="V15" s="13"/>
    </row>
    <row r="16" spans="1:22" x14ac:dyDescent="0.25">
      <c r="A16" s="5"/>
      <c r="B16" s="11"/>
      <c r="C16" s="4" t="str">
        <f t="shared" ref="C16:E16" si="3">C8</f>
        <v>C</v>
      </c>
      <c r="D16" s="4">
        <f t="shared" si="3"/>
        <v>120</v>
      </c>
      <c r="E16" s="4">
        <f t="shared" si="3"/>
        <v>40</v>
      </c>
      <c r="F16" s="4">
        <v>0</v>
      </c>
      <c r="G16" s="3"/>
      <c r="H16" s="45" t="s">
        <v>8</v>
      </c>
      <c r="I16" s="46"/>
      <c r="J16" s="47"/>
      <c r="K16" s="13"/>
      <c r="L16" s="1"/>
      <c r="N16" s="21"/>
      <c r="O16" s="1"/>
      <c r="P16" s="1"/>
      <c r="Q16" s="1"/>
      <c r="R16" s="1"/>
      <c r="S16" s="1"/>
      <c r="T16" s="1"/>
      <c r="U16" s="1"/>
      <c r="V16" s="13"/>
    </row>
    <row r="17" spans="1:22" x14ac:dyDescent="0.25">
      <c r="A17" s="5"/>
      <c r="B17" s="11"/>
      <c r="C17" s="4" t="str">
        <f t="shared" ref="C17:E17" si="4">C9</f>
        <v>D</v>
      </c>
      <c r="D17" s="4">
        <f t="shared" si="4"/>
        <v>50</v>
      </c>
      <c r="E17" s="4">
        <f t="shared" si="4"/>
        <v>150</v>
      </c>
      <c r="F17" s="4">
        <v>0</v>
      </c>
      <c r="G17" s="3"/>
      <c r="H17" s="23" t="str">
        <f>E13</f>
        <v>Case1</v>
      </c>
      <c r="I17" s="43">
        <v>0</v>
      </c>
      <c r="J17" s="44"/>
      <c r="K17" s="13"/>
      <c r="L17" s="1"/>
      <c r="N17" s="21"/>
      <c r="O17" s="1"/>
      <c r="P17" s="1"/>
      <c r="Q17" s="1"/>
      <c r="R17" s="1"/>
      <c r="S17" s="1"/>
      <c r="T17" s="1"/>
      <c r="U17" s="1"/>
      <c r="V17" s="13"/>
    </row>
    <row r="18" spans="1:22" x14ac:dyDescent="0.25">
      <c r="A18" s="5"/>
      <c r="B18" s="11"/>
      <c r="C18" s="4" t="str">
        <f t="shared" ref="C18:E18" si="5">C10</f>
        <v>E</v>
      </c>
      <c r="D18" s="4">
        <f t="shared" si="5"/>
        <v>30</v>
      </c>
      <c r="E18" s="4">
        <f t="shared" si="5"/>
        <v>90</v>
      </c>
      <c r="F18" s="4">
        <v>0</v>
      </c>
      <c r="G18" s="3"/>
      <c r="K18" s="13"/>
      <c r="L18" s="1"/>
      <c r="N18" s="21"/>
      <c r="O18" s="1"/>
      <c r="P18" s="1"/>
      <c r="Q18" s="1"/>
      <c r="R18" s="1"/>
      <c r="S18" s="1"/>
      <c r="T18" s="1"/>
      <c r="U18" s="1"/>
      <c r="V18" s="13"/>
    </row>
    <row r="19" spans="1:22" x14ac:dyDescent="0.25">
      <c r="A19" s="5"/>
      <c r="B19" s="11"/>
      <c r="C19" s="2"/>
      <c r="D19" s="2"/>
      <c r="E19" s="2"/>
      <c r="F19" s="2"/>
      <c r="G19" s="3"/>
      <c r="K19" s="13"/>
      <c r="L19" s="1"/>
      <c r="N19" s="21"/>
      <c r="O19" s="1"/>
      <c r="P19" s="1"/>
      <c r="Q19" s="1"/>
      <c r="R19" s="1"/>
      <c r="S19" s="1"/>
      <c r="T19" s="1"/>
      <c r="U19" s="1"/>
      <c r="V19" s="13"/>
    </row>
    <row r="20" spans="1:22" x14ac:dyDescent="0.25">
      <c r="A20" s="5"/>
      <c r="B20" s="11"/>
      <c r="C20" s="2"/>
      <c r="D20" s="2"/>
      <c r="E20" s="2"/>
      <c r="F20" s="2"/>
      <c r="G20" s="3"/>
      <c r="K20" s="13"/>
      <c r="L20" s="1"/>
      <c r="N20" s="21"/>
      <c r="O20" s="1"/>
      <c r="P20" s="1"/>
      <c r="Q20" s="1"/>
      <c r="R20" s="1"/>
      <c r="S20" s="1"/>
      <c r="T20" s="1"/>
      <c r="U20" s="1"/>
      <c r="V20" s="13"/>
    </row>
    <row r="21" spans="1:22" x14ac:dyDescent="0.25">
      <c r="A21" s="5"/>
      <c r="B21" s="11"/>
      <c r="C21" s="2"/>
      <c r="D21" s="2"/>
      <c r="E21" s="2"/>
      <c r="F21" s="2"/>
      <c r="G21" s="3"/>
      <c r="K21" s="13"/>
      <c r="L21" s="1"/>
      <c r="N21" s="21"/>
      <c r="O21" s="1"/>
      <c r="P21" s="1"/>
      <c r="Q21" s="1"/>
      <c r="R21" s="1"/>
      <c r="S21" s="1"/>
      <c r="T21" s="1"/>
      <c r="U21" s="1"/>
      <c r="V21" s="13"/>
    </row>
    <row r="22" spans="1:22" x14ac:dyDescent="0.25">
      <c r="A22" s="5"/>
      <c r="B22" s="11"/>
      <c r="C22" s="2"/>
      <c r="D22" s="2"/>
      <c r="E22" s="2"/>
      <c r="F22" s="2"/>
      <c r="G22" s="3"/>
      <c r="K22" s="13"/>
      <c r="L22" s="1"/>
      <c r="N22" s="32">
        <v>6</v>
      </c>
      <c r="O22" s="24">
        <v>0</v>
      </c>
      <c r="Q22" s="8" t="s">
        <v>20</v>
      </c>
      <c r="S22" s="8" t="s">
        <v>19</v>
      </c>
      <c r="T22" s="28">
        <v>2</v>
      </c>
      <c r="U22" s="1"/>
      <c r="V22" s="30"/>
    </row>
    <row r="23" spans="1:22" ht="15" customHeight="1" thickBot="1" x14ac:dyDescent="0.3">
      <c r="A23" s="5"/>
      <c r="B23" s="14"/>
      <c r="C23" s="15"/>
      <c r="D23" s="15"/>
      <c r="E23" s="15"/>
      <c r="F23" s="15"/>
      <c r="G23" s="16"/>
      <c r="H23" s="15"/>
      <c r="I23" s="17"/>
      <c r="J23" s="17"/>
      <c r="K23" s="18"/>
      <c r="L23" s="1"/>
      <c r="N23" s="22"/>
      <c r="O23" s="17"/>
      <c r="P23" s="17"/>
      <c r="Q23" s="17"/>
      <c r="R23" s="17"/>
      <c r="S23" s="17"/>
      <c r="T23" s="17"/>
      <c r="U23" s="17"/>
      <c r="V23" s="36" t="s">
        <v>17</v>
      </c>
    </row>
    <row r="24" spans="1:22" x14ac:dyDescent="0.25">
      <c r="A24" s="5"/>
      <c r="B24" s="5"/>
      <c r="C24" s="2"/>
      <c r="D24" s="2"/>
      <c r="E24" s="2"/>
      <c r="F24" s="2"/>
      <c r="G24" s="5"/>
      <c r="H24" s="2"/>
      <c r="I24" s="1"/>
      <c r="J24" s="1"/>
    </row>
    <row r="25" spans="1:22" x14ac:dyDescent="0.25">
      <c r="A25" s="5"/>
      <c r="B25" s="5"/>
      <c r="C25" s="2"/>
      <c r="D25" s="2"/>
      <c r="E25" s="2"/>
      <c r="F25" s="2"/>
      <c r="G25" s="5"/>
      <c r="H25" s="2"/>
      <c r="I25" s="1"/>
      <c r="J25" s="1"/>
    </row>
    <row r="26" spans="1:22" x14ac:dyDescent="0.25">
      <c r="A26" s="5"/>
      <c r="B26" s="5"/>
      <c r="C26" s="2"/>
      <c r="D26" s="2"/>
      <c r="E26" s="2"/>
      <c r="F26" s="2"/>
      <c r="G26" s="5"/>
      <c r="H26" s="2"/>
      <c r="I26" s="1"/>
      <c r="J26" s="1"/>
    </row>
    <row r="27" spans="1:22" x14ac:dyDescent="0.25">
      <c r="A27" s="5"/>
      <c r="B27" s="5"/>
      <c r="C27" s="2"/>
      <c r="D27" s="2"/>
      <c r="E27" s="2"/>
      <c r="F27" s="2"/>
      <c r="G27" s="5"/>
      <c r="H27" s="2"/>
      <c r="I27" s="1"/>
      <c r="J27" s="1"/>
    </row>
    <row r="28" spans="1:22" x14ac:dyDescent="0.25">
      <c r="A28" s="5"/>
      <c r="B28" s="5"/>
      <c r="C28" s="2"/>
      <c r="D28" s="2"/>
      <c r="E28" s="2"/>
      <c r="F28" s="2"/>
      <c r="G28" s="5"/>
      <c r="H28" s="2"/>
      <c r="I28" s="1"/>
      <c r="J28" s="1"/>
    </row>
    <row r="29" spans="1:22" x14ac:dyDescent="0.25">
      <c r="A29" s="5"/>
      <c r="B29" s="5"/>
      <c r="C29" s="2"/>
      <c r="D29" s="2"/>
      <c r="E29" s="2"/>
      <c r="F29" s="2"/>
      <c r="G29" s="5"/>
    </row>
    <row r="30" spans="1:22" x14ac:dyDescent="0.25">
      <c r="G30" s="5"/>
    </row>
  </sheetData>
  <mergeCells count="8">
    <mergeCell ref="N2:Q2"/>
    <mergeCell ref="E13:F13"/>
    <mergeCell ref="C13:D13"/>
    <mergeCell ref="I17:J17"/>
    <mergeCell ref="H16:J16"/>
    <mergeCell ref="H13:I13"/>
    <mergeCell ref="H14:I14"/>
    <mergeCell ref="B2:K2"/>
  </mergeCells>
  <conditionalFormatting sqref="C9">
    <cfRule type="expression" dxfId="3" priority="35">
      <formula>$C9 &lt;&gt; ""</formula>
    </cfRule>
  </conditionalFormatting>
  <conditionalFormatting sqref="C11:F12 C19:F29 C10">
    <cfRule type="expression" dxfId="2" priority="33">
      <formula>$C10 &lt;&gt; ""</formula>
    </cfRule>
  </conditionalFormatting>
  <conditionalFormatting sqref="H7:J12 H23:J28 H17:I17">
    <cfRule type="expression" dxfId="1" priority="32">
      <formula>$H7 &lt;&gt; ""</formula>
    </cfRule>
  </conditionalFormatting>
  <conditionalFormatting sqref="M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{0DAC6ACA-95DE-4856-B6C4-31FB635A6FBA}</x14:id>
        </ext>
      </extLst>
    </cfRule>
  </conditionalFormatting>
  <conditionalFormatting sqref="M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{957192DD-41E9-424F-9468-65DB40D33951}</x14:id>
        </ext>
      </extLst>
    </cfRule>
  </conditionalFormatting>
  <conditionalFormatting sqref="M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{B9B38481-5806-4086-A2F1-02402DAE10A3}</x14:id>
        </ext>
      </extLst>
    </cfRule>
  </conditionalFormatting>
  <conditionalFormatting sqref="M9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{16C02AC4-AD94-40C1-9364-042DAE9EB41C}</x14:id>
        </ext>
      </extLst>
    </cfRule>
  </conditionalFormatting>
  <conditionalFormatting sqref="M10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{083FC619-CE13-4CF6-8E4D-9A40C41951B9}</x14:id>
        </ext>
      </extLst>
    </cfRule>
  </conditionalFormatting>
  <conditionalFormatting sqref="C6:E6 C7:C8 D7:E10">
    <cfRule type="expression" dxfId="0" priority="7">
      <formula>$C6 &lt;&gt; ""</formula>
    </cfRule>
  </conditionalFormatting>
  <conditionalFormatting sqref="F14 M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{3F06EDBB-74B3-4C0E-A6DE-45CFADE428C4}</x14:id>
        </ext>
      </extLst>
    </cfRule>
  </conditionalFormatting>
  <conditionalFormatting sqref="F15 M7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{DE0D843B-E4D9-46AF-82C2-B19DF7623103}</x14:id>
        </ext>
      </extLst>
    </cfRule>
  </conditionalFormatting>
  <conditionalFormatting sqref="M8 F1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{734B7EEB-66D1-4E0D-AF04-156E06B43E6B}</x14:id>
        </ext>
      </extLst>
    </cfRule>
  </conditionalFormatting>
  <conditionalFormatting sqref="F17 M9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{F8DE4AD1-1820-434E-B43F-B61F8216324B}</x14:id>
        </ext>
      </extLst>
    </cfRule>
  </conditionalFormatting>
  <conditionalFormatting sqref="M10 F1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{9E20009B-215A-4426-929B-15A9D0AAB1F7}</x14:id>
        </ext>
      </extLst>
    </cfRule>
  </conditionalFormatting>
  <dataValidations count="3">
    <dataValidation type="list" allowBlank="1" showInputMessage="1" showErrorMessage="1" sqref="J13:J14">
      <formula1>$I$12:$J$12</formula1>
    </dataValidation>
    <dataValidation type="list" allowBlank="1" showInputMessage="1" showErrorMessage="1" sqref="T22">
      <formula1>$B$4:$G$4</formula1>
    </dataValidation>
    <dataValidation type="list" allowBlank="1" showInputMessage="1" showErrorMessage="1" sqref="H6">
      <formula1>$H$4:$I$4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AC6ACA-95DE-4856-B6C4-31FB635A6F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57192DD-41E9-424F-9468-65DB40D339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9B38481-5806-4086-A2F1-02402DAE10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6C02AC4-AD94-40C1-9364-042DAE9EB4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83FC619-CE13-4CF6-8E4D-9A40C41951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F06EDBB-74B3-4C0E-A6DE-45CFADE428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F14 M6</xm:sqref>
        </x14:conditionalFormatting>
        <x14:conditionalFormatting xmlns:xm="http://schemas.microsoft.com/office/excel/2006/main">
          <x14:cfRule type="dataBar" id="{DE0D843B-E4D9-46AF-82C2-B19DF76231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 M7</xm:sqref>
        </x14:conditionalFormatting>
        <x14:conditionalFormatting xmlns:xm="http://schemas.microsoft.com/office/excel/2006/main">
          <x14:cfRule type="dataBar" id="{734B7EEB-66D1-4E0D-AF04-156E06B43E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 F16</xm:sqref>
        </x14:conditionalFormatting>
        <x14:conditionalFormatting xmlns:xm="http://schemas.microsoft.com/office/excel/2006/main">
          <x14:cfRule type="dataBar" id="{F8DE4AD1-1820-434E-B43F-B61F821632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F17 M9</xm:sqref>
        </x14:conditionalFormatting>
        <x14:conditionalFormatting xmlns:xm="http://schemas.microsoft.com/office/excel/2006/main">
          <x14:cfRule type="dataBar" id="{9E20009B-215A-4426-929B-15A9D0AAB1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 F18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I25"/>
  <sheetViews>
    <sheetView workbookViewId="0">
      <selection activeCell="C21" sqref="C21"/>
    </sheetView>
  </sheetViews>
  <sheetFormatPr defaultRowHeight="15" x14ac:dyDescent="0.25"/>
  <cols>
    <col min="1" max="1" width="11.42578125" bestFit="1" customWidth="1"/>
  </cols>
  <sheetData>
    <row r="5" spans="3:9" x14ac:dyDescent="0.25">
      <c r="C5" t="s">
        <v>0</v>
      </c>
      <c r="D5" t="s">
        <v>4</v>
      </c>
      <c r="E5" t="s">
        <v>5</v>
      </c>
    </row>
    <row r="6" spans="3:9" x14ac:dyDescent="0.25">
      <c r="C6">
        <v>1</v>
      </c>
      <c r="D6">
        <v>170</v>
      </c>
      <c r="E6">
        <v>50</v>
      </c>
      <c r="G6" t="s">
        <v>21</v>
      </c>
      <c r="H6" t="s">
        <v>21</v>
      </c>
      <c r="I6" t="s">
        <v>16</v>
      </c>
    </row>
    <row r="7" spans="3:9" x14ac:dyDescent="0.25">
      <c r="C7">
        <v>2</v>
      </c>
      <c r="D7">
        <v>170</v>
      </c>
      <c r="E7">
        <v>50</v>
      </c>
      <c r="G7">
        <v>50</v>
      </c>
      <c r="H7">
        <v>170</v>
      </c>
      <c r="I7">
        <v>4</v>
      </c>
    </row>
    <row r="8" spans="3:9" x14ac:dyDescent="0.25">
      <c r="C8">
        <v>3</v>
      </c>
      <c r="D8">
        <v>170</v>
      </c>
      <c r="E8">
        <v>50</v>
      </c>
      <c r="G8">
        <v>110</v>
      </c>
      <c r="H8">
        <v>150</v>
      </c>
      <c r="I8">
        <v>4</v>
      </c>
    </row>
    <row r="9" spans="3:9" x14ac:dyDescent="0.25">
      <c r="C9">
        <v>4</v>
      </c>
      <c r="D9">
        <v>170</v>
      </c>
      <c r="E9">
        <v>50</v>
      </c>
      <c r="G9">
        <v>40</v>
      </c>
      <c r="H9">
        <v>120</v>
      </c>
      <c r="I9">
        <v>4</v>
      </c>
    </row>
    <row r="10" spans="3:9" x14ac:dyDescent="0.25">
      <c r="C10">
        <v>5</v>
      </c>
      <c r="D10">
        <v>150</v>
      </c>
      <c r="E10">
        <v>110</v>
      </c>
      <c r="G10">
        <v>150</v>
      </c>
      <c r="H10">
        <v>50</v>
      </c>
      <c r="I10">
        <v>4</v>
      </c>
    </row>
    <row r="11" spans="3:9" x14ac:dyDescent="0.25">
      <c r="C11">
        <v>6</v>
      </c>
      <c r="D11">
        <v>150</v>
      </c>
      <c r="E11">
        <v>110</v>
      </c>
      <c r="G11">
        <v>90</v>
      </c>
      <c r="H11">
        <v>30</v>
      </c>
      <c r="I11">
        <v>3</v>
      </c>
    </row>
    <row r="12" spans="3:9" x14ac:dyDescent="0.25">
      <c r="C12">
        <v>7</v>
      </c>
      <c r="D12">
        <v>150</v>
      </c>
      <c r="E12">
        <v>110</v>
      </c>
      <c r="G12">
        <v>0</v>
      </c>
      <c r="H12">
        <v>0</v>
      </c>
      <c r="I12">
        <v>1</v>
      </c>
    </row>
    <row r="13" spans="3:9" x14ac:dyDescent="0.25">
      <c r="C13">
        <v>8</v>
      </c>
      <c r="D13">
        <v>150</v>
      </c>
      <c r="E13">
        <v>110</v>
      </c>
    </row>
    <row r="14" spans="3:9" x14ac:dyDescent="0.25">
      <c r="C14">
        <v>9</v>
      </c>
      <c r="D14">
        <v>120</v>
      </c>
      <c r="E14">
        <v>40</v>
      </c>
    </row>
    <row r="15" spans="3:9" x14ac:dyDescent="0.25">
      <c r="C15">
        <v>10</v>
      </c>
      <c r="D15">
        <v>120</v>
      </c>
      <c r="E15">
        <v>40</v>
      </c>
    </row>
    <row r="16" spans="3:9" x14ac:dyDescent="0.25">
      <c r="C16">
        <v>11</v>
      </c>
      <c r="D16">
        <v>120</v>
      </c>
      <c r="E16">
        <v>40</v>
      </c>
    </row>
    <row r="17" spans="3:5" x14ac:dyDescent="0.25">
      <c r="C17">
        <v>12</v>
      </c>
      <c r="D17">
        <v>120</v>
      </c>
      <c r="E17">
        <v>40</v>
      </c>
    </row>
    <row r="18" spans="3:5" x14ac:dyDescent="0.25">
      <c r="C18">
        <v>13</v>
      </c>
      <c r="D18">
        <v>50</v>
      </c>
      <c r="E18">
        <v>150</v>
      </c>
    </row>
    <row r="19" spans="3:5" x14ac:dyDescent="0.25">
      <c r="C19">
        <v>14</v>
      </c>
      <c r="D19">
        <v>50</v>
      </c>
      <c r="E19">
        <v>150</v>
      </c>
    </row>
    <row r="20" spans="3:5" x14ac:dyDescent="0.25">
      <c r="C20">
        <v>15</v>
      </c>
      <c r="D20">
        <v>50</v>
      </c>
      <c r="E20">
        <v>150</v>
      </c>
    </row>
    <row r="21" spans="3:5" x14ac:dyDescent="0.25">
      <c r="C21">
        <v>16</v>
      </c>
      <c r="D21">
        <v>50</v>
      </c>
      <c r="E21">
        <v>150</v>
      </c>
    </row>
    <row r="22" spans="3:5" x14ac:dyDescent="0.25">
      <c r="C22">
        <v>17</v>
      </c>
      <c r="D22">
        <v>30</v>
      </c>
      <c r="E22">
        <v>90</v>
      </c>
    </row>
    <row r="23" spans="3:5" x14ac:dyDescent="0.25">
      <c r="C23">
        <v>18</v>
      </c>
      <c r="D23">
        <v>30</v>
      </c>
      <c r="E23">
        <v>90</v>
      </c>
    </row>
    <row r="24" spans="3:5" x14ac:dyDescent="0.25">
      <c r="C24">
        <v>19</v>
      </c>
      <c r="D24">
        <v>30</v>
      </c>
      <c r="E24">
        <v>90</v>
      </c>
    </row>
    <row r="25" spans="3:5" x14ac:dyDescent="0.25">
      <c r="C25">
        <v>20</v>
      </c>
      <c r="D25">
        <v>0</v>
      </c>
      <c r="E2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Interface</vt:lpstr>
      <vt:lpstr>Data</vt:lpstr>
      <vt:lpstr>range</vt:lpstr>
      <vt:lpstr>range2</vt:lpstr>
      <vt:lpstr>selam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selmanmoon</dc:creator>
  <cp:lastModifiedBy>selmanmoon</cp:lastModifiedBy>
  <dcterms:created xsi:type="dcterms:W3CDTF">2017-04-03T09:44:38Z</dcterms:created>
  <dcterms:modified xsi:type="dcterms:W3CDTF">2017-05-08T19:21:17Z</dcterms:modified>
</cp:coreProperties>
</file>